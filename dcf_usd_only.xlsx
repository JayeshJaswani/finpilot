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(US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008000"/>
      <sz val="12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2" fontId="0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Assumptions (Millions)</t>
        </is>
      </c>
    </row>
    <row r="3">
      <c r="A3" t="inlineStr">
        <is>
          <t>Historical Revenue</t>
        </is>
      </c>
      <c r="B3" s="2" t="n">
        <v>12000</v>
      </c>
    </row>
    <row r="4">
      <c r="A4" t="inlineStr">
        <is>
          <t>Tax Rate</t>
        </is>
      </c>
      <c r="B4" s="3" t="n">
        <v>0.25</v>
      </c>
    </row>
    <row r="5">
      <c r="A5" t="inlineStr">
        <is>
          <t>WACC</t>
        </is>
      </c>
      <c r="B5" s="3" t="n">
        <v>0.1</v>
      </c>
    </row>
    <row r="6">
      <c r="A6" t="inlineStr">
        <is>
          <t>Terminal Growth Rate</t>
        </is>
      </c>
      <c r="B6" s="3" t="n">
        <v>0.02</v>
      </c>
    </row>
    <row r="7">
      <c r="A7" t="inlineStr">
        <is>
          <t>Shares Outstanding</t>
        </is>
      </c>
      <c r="B7" s="4" t="n">
        <v>100000</v>
      </c>
    </row>
    <row r="8">
      <c r="A8" t="inlineStr">
        <is>
          <t>Net Debt</t>
        </is>
      </c>
      <c r="B8" s="2" t="n">
        <v>0</v>
      </c>
    </row>
    <row r="9">
      <c r="A9" t="inlineStr">
        <is>
          <t>D&amp;A % of Rev</t>
        </is>
      </c>
      <c r="B9" s="3" t="n">
        <v>0.05</v>
      </c>
    </row>
    <row r="10">
      <c r="A10" t="inlineStr">
        <is>
          <t>CapEx % of Rev</t>
        </is>
      </c>
      <c r="B10" s="3" t="n">
        <v>0.05</v>
      </c>
    </row>
    <row r="11">
      <c r="A11" t="inlineStr">
        <is>
          <t>NWC % of Rev</t>
        </is>
      </c>
      <c r="B11" s="3" t="n">
        <v>0.02</v>
      </c>
    </row>
    <row r="13">
      <c r="A13" s="5" t="inlineStr">
        <is>
          <t>Yearly Assumptions</t>
        </is>
      </c>
    </row>
    <row r="14">
      <c r="A14" s="6" t="inlineStr">
        <is>
          <t>Metric</t>
        </is>
      </c>
      <c r="B14" s="6" t="inlineStr">
        <is>
          <t>Year 1</t>
        </is>
      </c>
      <c r="C14" s="6" t="inlineStr">
        <is>
          <t>Year 2</t>
        </is>
      </c>
      <c r="D14" s="6" t="inlineStr">
        <is>
          <t>Year 3</t>
        </is>
      </c>
      <c r="E14" s="6" t="inlineStr">
        <is>
          <t>Year 4</t>
        </is>
      </c>
      <c r="F14" s="6" t="inlineStr">
        <is>
          <t>Year 5</t>
        </is>
      </c>
    </row>
    <row r="15">
      <c r="A15" t="inlineStr">
        <is>
          <t>Revenue Growth Rate</t>
        </is>
      </c>
      <c r="B15" s="3" t="n">
        <v>0.05</v>
      </c>
      <c r="C15" s="3" t="n">
        <v>0.05</v>
      </c>
      <c r="D15" s="3" t="n">
        <v>0.05</v>
      </c>
      <c r="E15" s="3" t="n">
        <v>0.05</v>
      </c>
      <c r="F15" s="3" t="n">
        <v>0.03</v>
      </c>
    </row>
    <row r="16">
      <c r="A16" t="inlineStr">
        <is>
          <t>EBIT Margin</t>
        </is>
      </c>
      <c r="B16" s="3" t="n">
        <v>0.2</v>
      </c>
      <c r="C16" s="3" t="n">
        <v>0.2</v>
      </c>
      <c r="D16" s="3" t="n">
        <v>0.2</v>
      </c>
      <c r="E16" s="3" t="n">
        <v>0.2</v>
      </c>
      <c r="F16" s="3" t="n">
        <v>0.2</v>
      </c>
    </row>
    <row r="18">
      <c r="A18" s="1" t="inlineStr">
        <is>
          <t>Projections (Millions)</t>
        </is>
      </c>
    </row>
    <row r="19">
      <c r="A19" s="6" t="inlineStr">
        <is>
          <t>Metric</t>
        </is>
      </c>
      <c r="B19" s="6" t="inlineStr">
        <is>
          <t>Year 1</t>
        </is>
      </c>
      <c r="C19" s="6" t="inlineStr">
        <is>
          <t>Year 2</t>
        </is>
      </c>
      <c r="D19" s="6" t="inlineStr">
        <is>
          <t>Year 3</t>
        </is>
      </c>
      <c r="E19" s="6" t="inlineStr">
        <is>
          <t>Year 4</t>
        </is>
      </c>
      <c r="F19" s="6" t="inlineStr">
        <is>
          <t>Year 5</t>
        </is>
      </c>
    </row>
    <row r="20">
      <c r="A20" t="inlineStr">
        <is>
          <t>Revenue</t>
        </is>
      </c>
      <c r="B20" s="2">
        <f>$B$3*(1+B15)</f>
        <v/>
      </c>
      <c r="C20" s="2">
        <f>B20*(1+C15)</f>
        <v/>
      </c>
      <c r="D20" s="2">
        <f>C20*(1+D15)</f>
        <v/>
      </c>
      <c r="E20" s="2">
        <f>D20*(1+E15)</f>
        <v/>
      </c>
      <c r="F20" s="2">
        <f>E20*(1+F15)</f>
        <v/>
      </c>
    </row>
    <row r="21">
      <c r="A21" t="inlineStr">
        <is>
          <t>EBIT</t>
        </is>
      </c>
      <c r="B21" s="2">
        <f>B20*B16</f>
        <v/>
      </c>
      <c r="C21" s="2">
        <f>C20*C16</f>
        <v/>
      </c>
      <c r="D21" s="2">
        <f>D20*D16</f>
        <v/>
      </c>
      <c r="E21" s="2">
        <f>E20*E16</f>
        <v/>
      </c>
      <c r="F21" s="2">
        <f>F20*F16</f>
        <v/>
      </c>
    </row>
    <row r="22">
      <c r="A22" t="inlineStr">
        <is>
          <t>Tax Expense</t>
        </is>
      </c>
      <c r="B22" s="2">
        <f>B21*$B$4</f>
        <v/>
      </c>
      <c r="C22" s="2">
        <f>C21*$B$4</f>
        <v/>
      </c>
      <c r="D22" s="2">
        <f>D21*$B$4</f>
        <v/>
      </c>
      <c r="E22" s="2">
        <f>E21*$B$4</f>
        <v/>
      </c>
      <c r="F22" s="2">
        <f>F21*$B$4</f>
        <v/>
      </c>
    </row>
    <row r="23">
      <c r="A23" t="inlineStr">
        <is>
          <t>NOPAT</t>
        </is>
      </c>
      <c r="B23" s="2">
        <f>B21-B22</f>
        <v/>
      </c>
      <c r="C23" s="2">
        <f>C21-C22</f>
        <v/>
      </c>
      <c r="D23" s="2">
        <f>D21-D22</f>
        <v/>
      </c>
      <c r="E23" s="2">
        <f>E21-E22</f>
        <v/>
      </c>
      <c r="F23" s="2">
        <f>F21-F22</f>
        <v/>
      </c>
    </row>
    <row r="24">
      <c r="A24" t="inlineStr">
        <is>
          <t>D&amp;A</t>
        </is>
      </c>
      <c r="B24" s="2">
        <f>B20*$B$9</f>
        <v/>
      </c>
      <c r="C24" s="2">
        <f>C20*$B$9</f>
        <v/>
      </c>
      <c r="D24" s="2">
        <f>D20*$B$9</f>
        <v/>
      </c>
      <c r="E24" s="2">
        <f>E20*$B$9</f>
        <v/>
      </c>
      <c r="F24" s="2">
        <f>F20*$B$9</f>
        <v/>
      </c>
    </row>
    <row r="25">
      <c r="A25" t="inlineStr">
        <is>
          <t>CapEx</t>
        </is>
      </c>
      <c r="B25" s="2">
        <f>B20*$B$10</f>
        <v/>
      </c>
      <c r="C25" s="2">
        <f>C20*$B$10</f>
        <v/>
      </c>
      <c r="D25" s="2">
        <f>D20*$B$10</f>
        <v/>
      </c>
      <c r="E25" s="2">
        <f>E20*$B$10</f>
        <v/>
      </c>
      <c r="F25" s="2">
        <f>F20*$B$10</f>
        <v/>
      </c>
    </row>
    <row r="26">
      <c r="A26" t="inlineStr">
        <is>
          <t>Net Working Capital</t>
        </is>
      </c>
      <c r="B26" s="2">
        <f>B20*$B$11</f>
        <v/>
      </c>
      <c r="C26" s="2">
        <f>C20*$B$11</f>
        <v/>
      </c>
      <c r="D26" s="2">
        <f>D20*$B$11</f>
        <v/>
      </c>
      <c r="E26" s="2">
        <f>E20*$B$11</f>
        <v/>
      </c>
      <c r="F26" s="2">
        <f>F20*$B$11</f>
        <v/>
      </c>
    </row>
    <row r="27">
      <c r="A27" t="inlineStr">
        <is>
          <t>Change in NWC</t>
        </is>
      </c>
      <c r="B27" s="2">
        <f>B26-($B$3*$B$11)</f>
        <v/>
      </c>
      <c r="C27" s="2">
        <f>C26-B26</f>
        <v/>
      </c>
      <c r="D27" s="2">
        <f>D26-C26</f>
        <v/>
      </c>
      <c r="E27" s="2">
        <f>E26-D26</f>
        <v/>
      </c>
      <c r="F27" s="2">
        <f>F26-E26</f>
        <v/>
      </c>
    </row>
    <row r="28">
      <c r="A28" t="inlineStr">
        <is>
          <t>Unlevered FCF</t>
        </is>
      </c>
      <c r="B28" s="2">
        <f>B23+B24-B25-B27</f>
        <v/>
      </c>
      <c r="C28" s="2">
        <f>C23+C24-C25-C27</f>
        <v/>
      </c>
      <c r="D28" s="2">
        <f>D23+D24-D25-D27</f>
        <v/>
      </c>
      <c r="E28" s="2">
        <f>E23+E24-E25-E27</f>
        <v/>
      </c>
      <c r="F28" s="2">
        <f>F23+F24-F25-F27</f>
        <v/>
      </c>
    </row>
    <row r="29">
      <c r="A29" t="inlineStr">
        <is>
          <t>Discount Factor</t>
        </is>
      </c>
      <c r="B29" s="7">
        <f>1/((1+$B$5)^1)</f>
        <v/>
      </c>
      <c r="C29" s="7">
        <f>1/((1+$B$5)^2)</f>
        <v/>
      </c>
      <c r="D29" s="7">
        <f>1/((1+$B$5)^3)</f>
        <v/>
      </c>
      <c r="E29" s="7">
        <f>1/((1+$B$5)^4)</f>
        <v/>
      </c>
      <c r="F29" s="7">
        <f>1/((1+$B$5)^5)</f>
        <v/>
      </c>
    </row>
    <row r="30">
      <c r="A30" t="inlineStr">
        <is>
          <t>PV of FCF</t>
        </is>
      </c>
      <c r="B30" s="2">
        <f>B28*B29</f>
        <v/>
      </c>
      <c r="C30" s="2">
        <f>C28*C29</f>
        <v/>
      </c>
      <c r="D30" s="2">
        <f>D28*D29</f>
        <v/>
      </c>
      <c r="E30" s="2">
        <f>E28*E29</f>
        <v/>
      </c>
      <c r="F30" s="2">
        <f>F28*F29</f>
        <v/>
      </c>
    </row>
    <row r="32">
      <c r="A32" s="1" t="inlineStr">
        <is>
          <t>Valuation (Millions)</t>
        </is>
      </c>
    </row>
    <row r="33">
      <c r="A33" t="inlineStr">
        <is>
          <t>Sum of PV of UFCFs</t>
        </is>
      </c>
      <c r="B33" s="2">
        <f>SUM(B30:F30)</f>
        <v/>
      </c>
    </row>
    <row r="34">
      <c r="A34" t="inlineStr">
        <is>
          <t>Terminal Value</t>
        </is>
      </c>
      <c r="B34" s="2">
        <f>F28*(1+$B$6)/($B$5-$B$6)</f>
        <v/>
      </c>
    </row>
    <row r="35">
      <c r="A35" t="inlineStr">
        <is>
          <t>PV of Terminal Value</t>
        </is>
      </c>
      <c r="B35" s="2">
        <f>B34/((1+$B$5)^5)</f>
        <v/>
      </c>
    </row>
    <row r="36">
      <c r="A36" s="5" t="inlineStr">
        <is>
          <t>Enterprise Value</t>
        </is>
      </c>
      <c r="B36" s="8">
        <f>B33+B35</f>
        <v/>
      </c>
    </row>
    <row r="37">
      <c r="A37" t="inlineStr">
        <is>
          <t>Less: Net Debt</t>
        </is>
      </c>
      <c r="B37" s="2">
        <f>$B$8</f>
        <v/>
      </c>
    </row>
    <row r="38">
      <c r="A38" s="5" t="inlineStr">
        <is>
          <t>Equity Value</t>
        </is>
      </c>
      <c r="B38" s="8">
        <f>B36-$B$8</f>
        <v/>
      </c>
    </row>
    <row r="39">
      <c r="A39" s="9" t="inlineStr">
        <is>
          <t>Implied Share Price</t>
        </is>
      </c>
      <c r="B39" s="10">
        <f>B38/$B$7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2026-01-19T07:21:15Z</dcterms:created>
  <dcterms:modified xmlns:dcterms="http://purl.org/dc/terms/" xmlns:xsi="http://www.w3.org/2001/XMLSchema-instance" xsi:type="dcterms:W3CDTF">2026-01-19T07:21:15Z</dcterms:modified>
</cp:coreProperties>
</file>